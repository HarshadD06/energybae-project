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 iterateDelta="1E-4"/>
</workbook>
</file>

<file path=xl/calcChain.xml><?xml version="1.0" encoding="utf-8"?>
<calcChain xmlns="http://schemas.openxmlformats.org/spreadsheetml/2006/main">
  <c r="I10" i="1" l="1"/>
  <c r="H10" i="1"/>
  <c r="H11" i="1" s="1"/>
  <c r="H12" i="1" s="1"/>
  <c r="H13" i="1" s="1"/>
  <c r="H14" i="1" s="1"/>
  <c r="E10" i="1"/>
  <c r="D10" i="1"/>
  <c r="D11" i="1" s="1"/>
  <c r="D12" i="1" s="1"/>
  <c r="D13" i="1" s="1"/>
  <c r="D14" i="1" s="1"/>
  <c r="C18" i="1" s="1"/>
  <c r="J10" i="1"/>
  <c r="F10" i="1"/>
  <c r="C17" i="1" l="1"/>
</calcChain>
</file>

<file path=xl/sharedStrings.xml><?xml version="1.0" encoding="utf-8"?>
<sst xmlns="http://schemas.openxmlformats.org/spreadsheetml/2006/main" count="31" uniqueCount="22">
  <si>
    <t>Consumer Name</t>
  </si>
  <si>
    <t>Shri Madhusham Roopchand Khobragade</t>
  </si>
  <si>
    <t>Ranjana Madhusham Khobragade</t>
  </si>
  <si>
    <t>Consumer No</t>
  </si>
  <si>
    <t>Fixed Charges</t>
  </si>
  <si>
    <t>Sanct. Load (kW)</t>
  </si>
  <si>
    <t>Connection Type</t>
  </si>
  <si>
    <t>Contract Demand (KVA) :</t>
  </si>
  <si>
    <t>Solar Pannel used</t>
  </si>
  <si>
    <t>Sr.No</t>
  </si>
  <si>
    <t>Month</t>
  </si>
  <si>
    <t xml:space="preserve">Units </t>
  </si>
  <si>
    <t>Bill Amount</t>
  </si>
  <si>
    <t>Unit Cost</t>
  </si>
  <si>
    <t>Average</t>
  </si>
  <si>
    <t>kW</t>
  </si>
  <si>
    <t>Solar Panels</t>
  </si>
  <si>
    <t>-+</t>
  </si>
  <si>
    <t>Solar capacity</t>
  </si>
  <si>
    <t>Number of Panels</t>
  </si>
  <si>
    <t>Total solar capacity</t>
  </si>
  <si>
    <t>Number of solar panels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</si>
</sst>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yyyy"/>
  </numFmts>
  <fonts count="11" x14ac:knownFonts="1">
    <font>
      <sz val="11"/>
      <color theme="1"/>
      <name val="Calibri"/>
      <family val="2"/>
      <scheme val="minor"/>
    </font>
    <font>
      <b/>
      <sz val="11"/>
      <color rgb="FF000000"/>
      <name val="Arial"/>
      <charset val="1"/>
    </font>
    <font>
      <sz val="9"/>
      <color rgb="FF000000"/>
      <name val="Calibri"/>
      <charset val="1"/>
    </font>
    <font>
      <sz val="8"/>
      <color rgb="FF000000"/>
      <name val="Verdana"/>
      <charset val="1"/>
    </font>
    <font>
      <sz val="11"/>
      <color rgb="FF000000"/>
      <name val="Arial"/>
      <charset val="1"/>
    </font>
    <font>
      <sz val="9"/>
      <color theme="1"/>
      <name val="Calibri"/>
      <charset val="1"/>
    </font>
    <font>
      <sz val="11"/>
      <color theme="1"/>
      <name val="Arial"/>
      <charset val="1"/>
    </font>
    <font>
      <u/>
      <sz val="9"/>
      <color rgb="FF000000"/>
      <name val="Calibri"/>
      <charset val="1"/>
    </font>
    <font>
      <sz val="11"/>
      <color rgb="FF000000"/>
      <name val="Calibri"/>
      <charset val="1"/>
    </font>
    <font>
      <sz val="10"/>
      <color rgb="FF000000"/>
      <name val="Calibri"/>
      <charset val="1"/>
    </font>
    <font>
      <b/>
      <sz val="9"/>
      <color rgb="FF000000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4B084"/>
        <bgColor rgb="FFFF99CC"/>
      </patternFill>
    </fill>
    <fill>
      <patternFill patternType="solid">
        <fgColor rgb="FFFFFF00"/>
        <bgColor rgb="FFFFFF00"/>
      </patternFill>
    </fill>
    <fill>
      <patternFill patternType="solid">
        <fgColor rgb="FFED7D31"/>
        <bgColor rgb="FFFF8080"/>
      </patternFill>
    </fill>
    <fill>
      <patternFill patternType="solid">
        <fgColor rgb="FF92D050"/>
        <bgColor rgb="FFC0C0C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1" xfId="0" applyFont="1" applyBorder="1" applyAlignment="1"/>
    <xf numFmtId="0" fontId="3" fillId="2" borderId="1" xfId="0" applyFont="1" applyFill="1" applyBorder="1" applyAlignment="1">
      <alignment horizontal="left"/>
    </xf>
    <xf numFmtId="0" fontId="4" fillId="0" borderId="0" xfId="0" applyFont="1"/>
    <xf numFmtId="0" fontId="2" fillId="3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right"/>
    </xf>
    <xf numFmtId="0" fontId="2" fillId="0" borderId="0" xfId="0" applyFont="1" applyAlignment="1">
      <alignment horizontal="right"/>
    </xf>
    <xf numFmtId="0" fontId="2" fillId="3" borderId="2" xfId="0" applyFont="1" applyFill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2" fillId="0" borderId="0" xfId="0" applyFont="1" applyAlignment="1"/>
    <xf numFmtId="0" fontId="5" fillId="0" borderId="1" xfId="0" applyFont="1" applyBorder="1" applyAlignment="1">
      <alignment horizontal="right"/>
    </xf>
    <xf numFmtId="0" fontId="6" fillId="0" borderId="1" xfId="0" applyFont="1" applyBorder="1"/>
    <xf numFmtId="0" fontId="3" fillId="2" borderId="0" xfId="0" applyFont="1" applyFill="1" applyAlignment="1">
      <alignment horizontal="left"/>
    </xf>
    <xf numFmtId="0" fontId="2" fillId="4" borderId="0" xfId="0" applyFont="1" applyFill="1" applyAlignment="1">
      <alignment horizontal="right"/>
    </xf>
    <xf numFmtId="0" fontId="2" fillId="2" borderId="0" xfId="0" applyFont="1" applyFill="1" applyAlignment="1">
      <alignment horizontal="right"/>
    </xf>
    <xf numFmtId="0" fontId="7" fillId="5" borderId="1" xfId="0" applyFont="1" applyFill="1" applyBorder="1" applyAlignment="1"/>
    <xf numFmtId="0" fontId="2" fillId="5" borderId="3" xfId="0" applyFont="1" applyFill="1" applyBorder="1" applyAlignment="1"/>
    <xf numFmtId="0" fontId="2" fillId="5" borderId="1" xfId="0" applyFont="1" applyFill="1" applyBorder="1" applyAlignment="1"/>
    <xf numFmtId="0" fontId="2" fillId="0" borderId="2" xfId="0" applyFont="1" applyBorder="1" applyAlignment="1">
      <alignment horizontal="right"/>
    </xf>
    <xf numFmtId="164" fontId="4" fillId="0" borderId="0" xfId="0" applyNumberFormat="1" applyFont="1"/>
    <xf numFmtId="0" fontId="4" fillId="0" borderId="1" xfId="0" applyFont="1" applyBorder="1"/>
    <xf numFmtId="4" fontId="8" fillId="2" borderId="1" xfId="0" applyNumberFormat="1" applyFont="1" applyFill="1" applyBorder="1" applyAlignment="1">
      <alignment horizontal="right"/>
    </xf>
    <xf numFmtId="0" fontId="9" fillId="2" borderId="1" xfId="0" applyFont="1" applyFill="1" applyBorder="1"/>
    <xf numFmtId="0" fontId="2" fillId="0" borderId="2" xfId="0" applyFont="1" applyBorder="1" applyAlignment="1"/>
    <xf numFmtId="0" fontId="10" fillId="0" borderId="4" xfId="0" applyFont="1" applyBorder="1" applyAlignment="1"/>
    <xf numFmtId="0" fontId="10" fillId="0" borderId="5" xfId="0" applyFont="1" applyBorder="1" applyAlignment="1"/>
    <xf numFmtId="4" fontId="10" fillId="0" borderId="2" xfId="0" applyNumberFormat="1" applyFont="1" applyBorder="1" applyAlignment="1"/>
    <xf numFmtId="0" fontId="10" fillId="0" borderId="2" xfId="0" applyFont="1" applyBorder="1" applyAlignment="1"/>
    <xf numFmtId="0" fontId="2" fillId="0" borderId="4" xfId="0" applyFont="1" applyBorder="1" applyAlignment="1">
      <alignment horizontal="right"/>
    </xf>
    <xf numFmtId="0" fontId="10" fillId="3" borderId="4" xfId="0" applyFont="1" applyFill="1" applyBorder="1" applyAlignment="1"/>
    <xf numFmtId="0" fontId="2" fillId="4" borderId="4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0" fontId="2" fillId="6" borderId="4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r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tabSelected="1" workbookViewId="0">
      <selection activeCell="B1" sqref="B1:J18"/>
    </sheetView>
  </sheetViews>
  <sheetFormatPr defaultRowHeight="14.4" x14ac:dyDescent="0.3"/>
  <cols>
    <col min="2" max="2" width="23.88671875" customWidth="1"/>
  </cols>
  <sheetData>
    <row r="1" spans="1:10" x14ac:dyDescent="0.3">
      <c r="A1" s="1"/>
      <c r="B1" s="2" t="s">
        <v>0</v>
      </c>
      <c r="D1" s="3" t="s">
        <v>1</v>
      </c>
      <c r="E1" s="4"/>
      <c r="F1" s="4"/>
      <c r="H1" s="3" t="s">
        <v>2</v>
      </c>
      <c r="I1" s="4"/>
      <c r="J1" s="4"/>
    </row>
    <row r="2" spans="1:10" x14ac:dyDescent="0.3">
      <c r="A2" s="4"/>
      <c r="B2" s="5" t="s">
        <v>3</v>
      </c>
      <c r="D2" s="6"/>
      <c r="E2" s="7"/>
      <c r="F2" s="4"/>
      <c r="H2" s="6"/>
      <c r="I2" s="7"/>
      <c r="J2" s="4"/>
    </row>
    <row r="3" spans="1:10" x14ac:dyDescent="0.3">
      <c r="A3" s="4"/>
      <c r="B3" s="8" t="s">
        <v>4</v>
      </c>
      <c r="D3" s="9"/>
      <c r="E3" s="10"/>
      <c r="F3" s="4"/>
      <c r="H3" s="9"/>
      <c r="I3" s="10"/>
      <c r="J3" s="4"/>
    </row>
    <row r="4" spans="1:10" x14ac:dyDescent="0.3">
      <c r="A4" s="4"/>
      <c r="B4" s="8" t="s">
        <v>5</v>
      </c>
      <c r="D4" s="9"/>
      <c r="E4" s="7"/>
      <c r="F4" s="4"/>
      <c r="H4" s="9"/>
      <c r="I4" s="7"/>
      <c r="J4" s="4"/>
    </row>
    <row r="5" spans="1:10" x14ac:dyDescent="0.3">
      <c r="A5" s="4"/>
      <c r="B5" s="8" t="s">
        <v>6</v>
      </c>
      <c r="D5" s="11"/>
      <c r="E5" s="10"/>
      <c r="F5" s="4"/>
      <c r="H5" s="12"/>
      <c r="I5" s="10"/>
      <c r="J5" s="4"/>
    </row>
    <row r="6" spans="1:10" x14ac:dyDescent="0.3">
      <c r="A6" s="4"/>
      <c r="B6" s="13" t="s">
        <v>7</v>
      </c>
      <c r="C6" s="10"/>
      <c r="D6" s="10"/>
      <c r="E6" s="10"/>
      <c r="F6" s="10"/>
      <c r="G6" s="10"/>
      <c r="H6" s="10"/>
      <c r="I6" s="10"/>
      <c r="J6" s="10"/>
    </row>
    <row r="7" spans="1:10" x14ac:dyDescent="0.3">
      <c r="A7" s="10"/>
      <c r="B7" s="10" t="s">
        <v>8</v>
      </c>
      <c r="C7" s="14">
        <v>600</v>
      </c>
      <c r="D7" s="10"/>
      <c r="E7" s="10"/>
      <c r="F7" s="10"/>
      <c r="G7" s="15"/>
      <c r="H7" s="10"/>
      <c r="I7" s="10"/>
      <c r="J7" s="10"/>
    </row>
    <row r="8" spans="1:10" x14ac:dyDescent="0.3">
      <c r="A8" s="10"/>
      <c r="B8" s="16" t="s">
        <v>9</v>
      </c>
      <c r="C8" s="17" t="s">
        <v>10</v>
      </c>
      <c r="D8" s="18" t="s">
        <v>11</v>
      </c>
      <c r="E8" s="17" t="s">
        <v>12</v>
      </c>
      <c r="F8" s="18" t="s">
        <v>13</v>
      </c>
      <c r="G8" s="17" t="s">
        <v>10</v>
      </c>
      <c r="H8" s="18" t="s">
        <v>11</v>
      </c>
      <c r="I8" s="17" t="s">
        <v>12</v>
      </c>
      <c r="J8" s="18" t="s">
        <v>13</v>
      </c>
    </row>
    <row r="9" spans="1:10" x14ac:dyDescent="0.3">
      <c r="A9" s="10"/>
      <c r="B9" s="19">
        <v>1</v>
      </c>
      <c r="C9" s="20"/>
      <c r="D9" s="21"/>
      <c r="E9" s="22"/>
      <c r="F9" s="23"/>
      <c r="G9" s="20"/>
      <c r="H9" s="21"/>
      <c r="I9" s="22"/>
      <c r="J9" s="23"/>
    </row>
    <row r="10" spans="1:10" x14ac:dyDescent="0.3">
      <c r="A10" s="10"/>
      <c r="B10" s="24"/>
      <c r="C10" s="25" t="s">
        <v>14</v>
      </c>
      <c r="D10" s="26" t="e">
        <f>AVERAGE(D9:D9)</f>
        <v>#DIV/0!</v>
      </c>
      <c r="E10" s="27" t="e">
        <f>AVERAGE(#REF!)</f>
        <v>#REF!</v>
      </c>
      <c r="F10" s="28" t="e">
        <f>AVERAGE(#REF!)</f>
        <v>#REF!</v>
      </c>
      <c r="G10" s="25" t="s">
        <v>14</v>
      </c>
      <c r="H10" s="26" t="e">
        <f>AVERAGE(H9:H9)</f>
        <v>#DIV/0!</v>
      </c>
      <c r="I10" s="27" t="e">
        <f>AVERAGE(#REF!)</f>
        <v>#REF!</v>
      </c>
      <c r="J10" s="28" t="e">
        <f>AVERAGE(#REF!)</f>
        <v>#REF!</v>
      </c>
    </row>
    <row r="11" spans="1:10" x14ac:dyDescent="0.3">
      <c r="A11" s="10"/>
      <c r="B11" s="24"/>
      <c r="C11" s="25" t="s">
        <v>15</v>
      </c>
      <c r="D11" s="29" t="e">
        <f>(D10*12*1.1)/1400</f>
        <v>#DIV/0!</v>
      </c>
      <c r="E11" s="29"/>
      <c r="F11" s="19"/>
      <c r="G11" s="25" t="s">
        <v>15</v>
      </c>
      <c r="H11" s="29" t="e">
        <f>(H10*12*1.1)/1400</f>
        <v>#DIV/0!</v>
      </c>
      <c r="I11" s="29"/>
      <c r="J11" s="19"/>
    </row>
    <row r="12" spans="1:10" x14ac:dyDescent="0.3">
      <c r="A12" s="10"/>
      <c r="B12" s="24"/>
      <c r="C12" s="25" t="s">
        <v>16</v>
      </c>
      <c r="D12" s="29" t="e">
        <f>D11/$C$7*1000</f>
        <v>#DIV/0!</v>
      </c>
      <c r="E12" s="29"/>
      <c r="F12" s="19"/>
      <c r="G12" s="25" t="s">
        <v>16</v>
      </c>
      <c r="H12" s="29" t="e">
        <f>H11/$C$7*1000</f>
        <v>#DIV/0!</v>
      </c>
      <c r="I12" s="29"/>
      <c r="J12" s="19"/>
    </row>
    <row r="13" spans="1:10" x14ac:dyDescent="0.3">
      <c r="A13" s="10" t="s">
        <v>17</v>
      </c>
      <c r="B13" s="24"/>
      <c r="C13" s="30" t="s">
        <v>18</v>
      </c>
      <c r="D13" s="31" t="e">
        <f>ROUND(D12,0)*$C$7/1000</f>
        <v>#DIV/0!</v>
      </c>
      <c r="E13" s="32"/>
      <c r="F13" s="33"/>
      <c r="G13" s="30" t="s">
        <v>18</v>
      </c>
      <c r="H13" s="31" t="e">
        <f>ROUND(H12,0)*$C$7/1000</f>
        <v>#DIV/0!</v>
      </c>
      <c r="I13" s="32"/>
      <c r="J13" s="33"/>
    </row>
    <row r="14" spans="1:10" x14ac:dyDescent="0.3">
      <c r="A14" s="10"/>
      <c r="B14" s="24"/>
      <c r="C14" s="30" t="s">
        <v>19</v>
      </c>
      <c r="D14" s="34" t="e">
        <f>D13/$C$7*1000</f>
        <v>#DIV/0!</v>
      </c>
      <c r="E14" s="32"/>
      <c r="F14" s="33"/>
      <c r="G14" s="30" t="s">
        <v>19</v>
      </c>
      <c r="H14" s="34" t="e">
        <f>H13/$C$7*1000</f>
        <v>#DIV/0!</v>
      </c>
      <c r="I14" s="32"/>
      <c r="J14" s="33"/>
    </row>
    <row r="17" spans="2:3" x14ac:dyDescent="0.3">
      <c r="B17" s="4" t="s">
        <v>20</v>
      </c>
      <c r="C17" s="4" t="e">
        <f>SUM(13:13)</f>
        <v>#DIV/0!</v>
      </c>
    </row>
    <row r="18" spans="2:3" x14ac:dyDescent="0.3">
      <c r="B18" s="4" t="s">
        <v>21</v>
      </c>
      <c r="C18" s="4" t="e">
        <f>SUM(14:14)</f>
        <v>#DIV/0!</v>
      </c>
    </row>
  </sheetData>
  <hyperlinks>
    <hyperlink ref="B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2026-05-14T17:59:47Z</dcterms:modified>
</cp:coreProperties>
</file>